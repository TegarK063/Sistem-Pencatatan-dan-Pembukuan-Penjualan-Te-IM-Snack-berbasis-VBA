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VBOOK\Tugas\FIksasi\"/>
    </mc:Choice>
  </mc:AlternateContent>
  <xr:revisionPtr revIDLastSave="0" documentId="13_ncr:1_{E8019A51-2D90-43BD-B98E-26BB11232891}" xr6:coauthVersionLast="47" xr6:coauthVersionMax="47" xr10:uidLastSave="{00000000-0000-0000-0000-000000000000}"/>
  <bookViews>
    <workbookView xWindow="-98" yWindow="-98" windowWidth="21795" windowHeight="13695" activeTab="4" xr2:uid="{8258A22F-3B88-4375-AE46-251CD83307AA}"/>
  </bookViews>
  <sheets>
    <sheet name="DataUser" sheetId="1" r:id="rId1"/>
    <sheet name="Transaksi" sheetId="2" r:id="rId2"/>
    <sheet name="Mentahan" sheetId="3" r:id="rId3"/>
    <sheet name="Rasa" sheetId="7" r:id="rId4"/>
    <sheet name="Pembukuan" sheetId="4" r:id="rId5"/>
    <sheet name="Pencatatan" sheetId="5" r:id="rId6"/>
    <sheet name="HCari" sheetId="6" r:id="rId7"/>
    <sheet name="Nota" sheetId="8" r:id="rId8"/>
  </sheets>
  <functionGroups builtInGroupCount="19"/>
  <definedNames>
    <definedName name="_xlnm._FilterDatabase" localSheetId="5" hidden="1">Pencatatan!$A$5:$H$6</definedName>
    <definedName name="Bulan1">Mentahan!$R$2:$R$13</definedName>
    <definedName name="_xlnm.Criteria" localSheetId="6">HCari!$K$5:$L$6</definedName>
    <definedName name="_xlnm.Extract" localSheetId="6">HCari!$A$5:$H$5</definedName>
    <definedName name="Tahun">Mentahan!$Q$1:$Q$13</definedName>
    <definedName name="Tahun1">Mentahan!$Q$2:$Q$13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5" l="1"/>
  <c r="A11" i="8"/>
  <c r="D7" i="4"/>
  <c r="D6" i="4"/>
  <c r="I14" i="3"/>
  <c r="F26" i="8"/>
  <c r="D3" i="8"/>
  <c r="J3" i="3"/>
  <c r="J4" i="3"/>
  <c r="J2" i="3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F11" i="4"/>
  <c r="H11" i="4" s="1"/>
  <c r="H4" i="4" s="1"/>
  <c r="E11" i="4"/>
  <c r="D11" i="4"/>
  <c r="C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11" i="4"/>
  <c r="I2" i="3"/>
  <c r="I4" i="3"/>
  <c r="I3" i="3"/>
  <c r="H12" i="4" l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5" i="4"/>
  <c r="I10" i="3" s="1"/>
  <c r="I5" i="3"/>
  <c r="H6" i="4"/>
  <c r="I11" i="3" s="1"/>
  <c r="I9" i="3"/>
  <c r="H7" i="4" l="1"/>
  <c r="H8" i="4" s="1"/>
  <c r="I13" i="3" s="1"/>
  <c r="I12" i="3" l="1"/>
</calcChain>
</file>

<file path=xl/sharedStrings.xml><?xml version="1.0" encoding="utf-8"?>
<sst xmlns="http://schemas.openxmlformats.org/spreadsheetml/2006/main" count="137" uniqueCount="73">
  <si>
    <t>UserName</t>
  </si>
  <si>
    <t>Password</t>
  </si>
  <si>
    <t>No</t>
  </si>
  <si>
    <t>ID</t>
  </si>
  <si>
    <t>TANGGAL</t>
  </si>
  <si>
    <t>NAMA</t>
  </si>
  <si>
    <t>Pilih Rasa</t>
  </si>
  <si>
    <t>ALAMAT</t>
  </si>
  <si>
    <t>HARGA</t>
  </si>
  <si>
    <t>JUMLAH</t>
  </si>
  <si>
    <t xml:space="preserve"> Total Harga </t>
  </si>
  <si>
    <t>Transaksi</t>
  </si>
  <si>
    <t>Rasa</t>
  </si>
  <si>
    <t>Bawang</t>
  </si>
  <si>
    <t>Keju</t>
  </si>
  <si>
    <t>Balado Kencur</t>
  </si>
  <si>
    <t>No.</t>
  </si>
  <si>
    <t>Tanggal</t>
  </si>
  <si>
    <t>Posisi Keuangan</t>
  </si>
  <si>
    <t>Tahun</t>
  </si>
  <si>
    <t>Bulan</t>
  </si>
  <si>
    <t>Keterangan</t>
  </si>
  <si>
    <t>Debit</t>
  </si>
  <si>
    <t>Kredit</t>
  </si>
  <si>
    <t>Mei</t>
  </si>
  <si>
    <t>November</t>
  </si>
  <si>
    <t>Saldo</t>
  </si>
  <si>
    <t>Saldo Awal</t>
  </si>
  <si>
    <t>Total Debit</t>
  </si>
  <si>
    <t>Total Kredit</t>
  </si>
  <si>
    <t>Saldo Akhir</t>
  </si>
  <si>
    <t>April</t>
  </si>
  <si>
    <t>Juli</t>
  </si>
  <si>
    <t>September</t>
  </si>
  <si>
    <t>Total Terjual</t>
  </si>
  <si>
    <t>Total</t>
  </si>
  <si>
    <t>Pendapatan/Rasa</t>
  </si>
  <si>
    <t>Jual Camilan Cistik Khas Subang</t>
  </si>
  <si>
    <t>Kepada</t>
  </si>
  <si>
    <t>Yth.</t>
  </si>
  <si>
    <t>di</t>
  </si>
  <si>
    <t>NAMA BARANG</t>
  </si>
  <si>
    <t>QTY</t>
  </si>
  <si>
    <t>DISCOUNT</t>
  </si>
  <si>
    <t>TOTAL</t>
  </si>
  <si>
    <t>Barang yang sudah dibeli</t>
  </si>
  <si>
    <t>Tidak dapat di kembalikan</t>
  </si>
  <si>
    <t>HORMAT KAMI</t>
  </si>
  <si>
    <t>Jl. RSS Sidodadi</t>
  </si>
  <si>
    <t>HP. 081285060630</t>
  </si>
  <si>
    <t>TE'IM</t>
  </si>
  <si>
    <t>SNACK</t>
  </si>
  <si>
    <t>Ima Rismanurlia</t>
  </si>
  <si>
    <t>Kata Kunci</t>
  </si>
  <si>
    <t>Admin</t>
  </si>
  <si>
    <t>Pendapatan</t>
  </si>
  <si>
    <t>Januari</t>
  </si>
  <si>
    <t>Februari</t>
  </si>
  <si>
    <t>Maret</t>
  </si>
  <si>
    <t>Juni</t>
  </si>
  <si>
    <t>Agustus</t>
  </si>
  <si>
    <t>Oktober</t>
  </si>
  <si>
    <t>Desember</t>
  </si>
  <si>
    <t>ID00001</t>
  </si>
  <si>
    <t>04 Juli 2024</t>
  </si>
  <si>
    <t>Tegar</t>
  </si>
  <si>
    <t>Subang</t>
  </si>
  <si>
    <t>Tunai</t>
  </si>
  <si>
    <t>PEMASUKKAN</t>
  </si>
  <si>
    <t>ID00002</t>
  </si>
  <si>
    <t>Tina</t>
  </si>
  <si>
    <t>ID00003</t>
  </si>
  <si>
    <t>Putri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</si>
</sst>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p&quot;#,##0"/>
    <numFmt numFmtId="165" formatCode="&quot;Rp&quot;\.#,##0"/>
    <numFmt numFmtId="166" formatCode="@\ * &quot;:&quot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DLaM Display"/>
    </font>
    <font>
      <sz val="11"/>
      <color theme="1"/>
      <name val="Abad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1" fillId="2" borderId="0" applyNumberFormat="0" applyBorder="0" applyAlignment="0" applyProtection="0"/>
  </cellStyleXfs>
  <cellXfs count="31">
    <xf numFmtId="0" fontId="0" fillId="0" borderId="0" xfId="0"/>
    <xf numFmtId="0" fontId="2" fillId="0" borderId="1" xfId="1"/>
    <xf numFmtId="14" fontId="0" fillId="0" borderId="0" xfId="0" applyNumberFormat="1"/>
    <xf numFmtId="164" fontId="2" fillId="0" borderId="1" xfId="1" applyNumberFormat="1"/>
    <xf numFmtId="164" fontId="0" fillId="0" borderId="0" xfId="0" applyNumberFormat="1"/>
    <xf numFmtId="165" fontId="0" fillId="0" borderId="0" xfId="0" applyNumberFormat="1"/>
    <xf numFmtId="165" fontId="2" fillId="0" borderId="1" xfId="1" applyNumberFormat="1"/>
    <xf numFmtId="0" fontId="0" fillId="0" borderId="0" xfId="0" applyAlignment="1">
      <alignment horizontal="center"/>
    </xf>
    <xf numFmtId="166" fontId="0" fillId="0" borderId="0" xfId="0" applyNumberFormat="1"/>
    <xf numFmtId="0" fontId="2" fillId="0" borderId="2" xfId="1" applyBorder="1"/>
    <xf numFmtId="14" fontId="2" fillId="0" borderId="1" xfId="1" applyNumberFormat="1"/>
    <xf numFmtId="0" fontId="0" fillId="0" borderId="3" xfId="0" applyBorder="1"/>
    <xf numFmtId="0" fontId="1" fillId="2" borderId="3" xfId="2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5" fillId="0" borderId="0" xfId="0" applyFont="1" applyAlignment="1">
      <alignment horizontal="left" indent="5"/>
    </xf>
    <xf numFmtId="0" fontId="6" fillId="0" borderId="0" xfId="0" applyFont="1"/>
    <xf numFmtId="0" fontId="6" fillId="0" borderId="0" xfId="0" applyFont="1" applyAlignment="1">
      <alignment horizontal="left" indent="4"/>
    </xf>
    <xf numFmtId="0" fontId="6" fillId="0" borderId="0" xfId="0" applyFont="1" applyAlignment="1">
      <alignment horizontal="left" indent="3"/>
    </xf>
    <xf numFmtId="0" fontId="6" fillId="0" borderId="0" xfId="0" applyFont="1" applyAlignment="1">
      <alignment horizontal="left" indent="1"/>
    </xf>
    <xf numFmtId="0" fontId="6" fillId="0" borderId="4" xfId="0" applyFont="1" applyBorder="1"/>
    <xf numFmtId="0" fontId="6" fillId="0" borderId="5" xfId="0" applyFont="1" applyBorder="1"/>
    <xf numFmtId="164" fontId="0" fillId="0" borderId="3" xfId="0" applyNumberFormat="1" applyBorder="1"/>
    <xf numFmtId="0" fontId="0" fillId="0" borderId="0" xfId="0" applyAlignment="1">
      <alignment horizontal="left"/>
    </xf>
    <xf numFmtId="166" fontId="0" fillId="0" borderId="0" xfId="0" applyNumberFormat="1" applyAlignment="1">
      <alignment horizontal="left"/>
    </xf>
  </cellXfs>
  <cellStyles count="3">
    <cellStyle name="60% - Accent2" xfId="2" builtinId="36"/>
    <cellStyle name="Normal" xfId="0" builtinId="0"/>
    <cellStyle name="Total" xfId="1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Mentahan!$I$1</c:f>
              <c:strCache>
                <c:ptCount val="1"/>
                <c:pt idx="0">
                  <c:v>Total Terjual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Mentahan!$H$2:$H$4</c:f>
              <c:strCache>
                <c:ptCount val="3"/>
                <c:pt idx="0">
                  <c:v>Bawang</c:v>
                </c:pt>
                <c:pt idx="1">
                  <c:v>Balado Kencur</c:v>
                </c:pt>
                <c:pt idx="2">
                  <c:v>Keju</c:v>
                </c:pt>
              </c:strCache>
            </c:strRef>
          </c:cat>
          <c:val>
            <c:numRef>
              <c:f>Mentahan!$I$2:$I$4</c:f>
              <c:numCache>
                <c:formatCode>General</c:formatCode>
                <c:ptCount val="3"/>
                <c:pt idx="0">
                  <c:v>12</c:v>
                </c:pt>
                <c:pt idx="1">
                  <c:v>12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A0-4BCB-B0E1-51101512E2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081771840"/>
        <c:axId val="1081772320"/>
      </c:barChart>
      <c:catAx>
        <c:axId val="108177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772320"/>
        <c:crosses val="autoZero"/>
        <c:auto val="1"/>
        <c:lblAlgn val="ctr"/>
        <c:lblOffset val="100"/>
        <c:noMultiLvlLbl val="0"/>
      </c:catAx>
      <c:valAx>
        <c:axId val="10817723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77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Mentahan!$J$1</c:f>
              <c:strCache>
                <c:ptCount val="1"/>
                <c:pt idx="0">
                  <c:v>Pendapatan/Rasa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Mentahan!$H$2:$H$4</c:f>
              <c:strCache>
                <c:ptCount val="3"/>
                <c:pt idx="0">
                  <c:v>Bawang</c:v>
                </c:pt>
                <c:pt idx="1">
                  <c:v>Balado Kencur</c:v>
                </c:pt>
                <c:pt idx="2">
                  <c:v>Keju</c:v>
                </c:pt>
              </c:strCache>
            </c:strRef>
          </c:cat>
          <c:val>
            <c:numRef>
              <c:f>Mentahan!$J$2:$J$4</c:f>
              <c:numCache>
                <c:formatCode>"Rp"#,##0</c:formatCode>
                <c:ptCount val="3"/>
                <c:pt idx="0">
                  <c:v>378000</c:v>
                </c:pt>
                <c:pt idx="1">
                  <c:v>378000</c:v>
                </c:pt>
                <c:pt idx="2">
                  <c:v>607500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9-4DC2-B039-F535EF7D0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877535"/>
        <c:axId val="244878015"/>
      </c:lineChart>
      <c:catAx>
        <c:axId val="24487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78015"/>
        <c:crosses val="autoZero"/>
        <c:auto val="1"/>
        <c:lblAlgn val="ctr"/>
        <c:lblOffset val="100"/>
        <c:noMultiLvlLbl val="0"/>
      </c:catAx>
      <c:valAx>
        <c:axId val="24487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p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7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</xdr:row>
          <xdr:rowOff>0</xdr:rowOff>
        </xdr:from>
        <xdr:to>
          <xdr:col>14</xdr:col>
          <xdr:colOff>533400</xdr:colOff>
          <xdr:row>2</xdr:row>
          <xdr:rowOff>100013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Transaksi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492915</xdr:colOff>
      <xdr:row>14</xdr:row>
      <xdr:rowOff>30952</xdr:rowOff>
    </xdr:from>
    <xdr:to>
      <xdr:col>13</xdr:col>
      <xdr:colOff>465927</xdr:colOff>
      <xdr:row>22</xdr:row>
      <xdr:rowOff>145252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600074</xdr:colOff>
      <xdr:row>14</xdr:row>
      <xdr:rowOff>16670</xdr:rowOff>
    </xdr:from>
    <xdr:to>
      <xdr:col>18</xdr:col>
      <xdr:colOff>320674</xdr:colOff>
      <xdr:row>22</xdr:row>
      <xdr:rowOff>130970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39219</xdr:colOff>
      <xdr:row>0</xdr:row>
      <xdr:rowOff>145676</xdr:rowOff>
    </xdr:from>
    <xdr:to>
      <xdr:col>1</xdr:col>
      <xdr:colOff>453838</xdr:colOff>
      <xdr:row>2</xdr:row>
      <xdr:rowOff>184897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6954" y="145676"/>
          <a:ext cx="414619" cy="414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0025F-F33E-4805-ADEB-AAC3B3AA13E3}">
  <sheetPr codeName="Sheet1"/>
  <dimension ref="A1:C2"/>
  <sheetViews>
    <sheetView workbookViewId="0">
      <selection activeCell="B7" sqref="B7"/>
    </sheetView>
  </sheetViews>
  <sheetFormatPr defaultRowHeight="14.25" x14ac:dyDescent="0.45"/>
  <cols>
    <col min="1" max="1" width="9.265625" bestFit="1" customWidth="1"/>
    <col min="2" max="2" width="10.1328125" bestFit="1" customWidth="1"/>
  </cols>
  <sheetData>
    <row r="1" spans="1:3" ht="14.65" thickBot="1" x14ac:dyDescent="0.5">
      <c r="A1" s="1" t="s">
        <v>53</v>
      </c>
      <c r="B1" s="1" t="s">
        <v>0</v>
      </c>
      <c r="C1" s="1" t="s">
        <v>1</v>
      </c>
    </row>
    <row r="2" spans="1:3" ht="14.65" thickTop="1" x14ac:dyDescent="0.45">
      <c r="A2">
        <v>123</v>
      </c>
      <c r="B2" t="s">
        <v>54</v>
      </c>
      <c r="C2">
        <v>123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92650-C7B3-4371-9379-7DE122529C65}">
  <sheetPr codeName="Sheet2"/>
  <dimension ref="A1:J4"/>
  <sheetViews>
    <sheetView workbookViewId="0">
      <selection activeCell="A2" sqref="A2"/>
    </sheetView>
  </sheetViews>
  <sheetFormatPr defaultRowHeight="14.25" x14ac:dyDescent="0.45"/>
  <cols>
    <col min="3" max="3" width="11" bestFit="1" customWidth="1"/>
    <col min="5" max="5" width="12" bestFit="1" customWidth="1"/>
    <col min="7" max="7" width="6.59765625" bestFit="1" customWidth="1"/>
    <col min="8" max="8" width="7.53125" bestFit="1" customWidth="1"/>
    <col min="9" max="9" width="10.86328125" style="4" bestFit="1" customWidth="1"/>
    <col min="16" max="16" width="10.73046875" bestFit="1" customWidth="1"/>
  </cols>
  <sheetData>
    <row r="1" spans="1:10" ht="14.65" thickBot="1" x14ac:dyDescent="0.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3" t="s">
        <v>10</v>
      </c>
      <c r="J1" s="1" t="s">
        <v>11</v>
      </c>
    </row>
    <row r="2" spans="1:10" ht="14.65" thickTop="1" x14ac:dyDescent="0.45">
      <c r="A2">
        <v>1</v>
      </c>
      <c r="B2" t="s">
        <v>63</v>
      </c>
      <c r="C2" t="s">
        <v>64</v>
      </c>
      <c r="D2" t="s">
        <v>65</v>
      </c>
      <c r="E2" t="s">
        <v>13</v>
      </c>
      <c r="F2" t="s">
        <v>66</v>
      </c>
      <c r="G2">
        <v>35000</v>
      </c>
      <c r="H2">
        <v>12</v>
      </c>
      <c r="I2" s="4">
        <v>378000</v>
      </c>
      <c r="J2" t="s">
        <v>67</v>
      </c>
    </row>
    <row r="3" spans="1:10" x14ac:dyDescent="0.45">
      <c r="A3">
        <v>2</v>
      </c>
      <c r="B3" t="s">
        <v>69</v>
      </c>
      <c r="C3" t="s">
        <v>64</v>
      </c>
      <c r="D3" t="s">
        <v>70</v>
      </c>
      <c r="E3" t="s">
        <v>15</v>
      </c>
      <c r="F3" t="s">
        <v>66</v>
      </c>
      <c r="G3">
        <v>35000</v>
      </c>
      <c r="H3">
        <v>12</v>
      </c>
      <c r="I3" s="4">
        <v>378000</v>
      </c>
      <c r="J3" t="s">
        <v>67</v>
      </c>
    </row>
    <row r="4" spans="1:10" x14ac:dyDescent="0.45">
      <c r="A4">
        <v>3</v>
      </c>
      <c r="B4" t="s">
        <v>71</v>
      </c>
      <c r="C4" t="s">
        <v>64</v>
      </c>
      <c r="D4" t="s">
        <v>72</v>
      </c>
      <c r="E4" t="s">
        <v>14</v>
      </c>
      <c r="F4" t="s">
        <v>66</v>
      </c>
      <c r="G4">
        <v>45000</v>
      </c>
      <c r="H4">
        <v>15</v>
      </c>
      <c r="I4" s="4">
        <v>607500</v>
      </c>
      <c r="J4" t="s">
        <v>67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nsaksi_Click">
                <anchor moveWithCells="1">
                  <from>
                    <xdr:col>13</xdr:col>
                    <xdr:colOff>123825</xdr:colOff>
                    <xdr:row>1</xdr:row>
                    <xdr:rowOff>0</xdr:rowOff>
                  </from>
                  <to>
                    <xdr:col>14</xdr:col>
                    <xdr:colOff>533400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86D4-F254-4051-9D83-A80B02BA3C53}">
  <sheetPr codeName="Sheet3"/>
  <dimension ref="E1:R14"/>
  <sheetViews>
    <sheetView workbookViewId="0">
      <selection activeCell="R2" sqref="R2:R13"/>
    </sheetView>
  </sheetViews>
  <sheetFormatPr defaultRowHeight="14.25" x14ac:dyDescent="0.45"/>
  <cols>
    <col min="1" max="1" width="12" bestFit="1" customWidth="1"/>
    <col min="2" max="2" width="5.73046875" bestFit="1" customWidth="1"/>
    <col min="8" max="8" width="12" bestFit="1" customWidth="1"/>
    <col min="9" max="9" width="13.59765625" customWidth="1"/>
    <col min="10" max="10" width="14.59765625" bestFit="1" customWidth="1"/>
  </cols>
  <sheetData>
    <row r="1" spans="5:18" x14ac:dyDescent="0.45">
      <c r="E1" t="s">
        <v>19</v>
      </c>
      <c r="F1" t="s">
        <v>20</v>
      </c>
      <c r="H1" t="s">
        <v>12</v>
      </c>
      <c r="I1" t="s">
        <v>34</v>
      </c>
      <c r="J1" t="s">
        <v>36</v>
      </c>
      <c r="R1" t="s">
        <v>20</v>
      </c>
    </row>
    <row r="2" spans="5:18" x14ac:dyDescent="0.45">
      <c r="E2">
        <v>2024</v>
      </c>
      <c r="F2" t="s">
        <v>56</v>
      </c>
      <c r="H2" t="s">
        <v>13</v>
      </c>
      <c r="I2">
        <f>SUMIF(Transaksi!$E$2:$E$13,Mentahan!H2,Transaksi!$H$2:$H$14)</f>
        <v>12</v>
      </c>
      <c r="J2" s="4">
        <f>SUMIF(Transaksi!E2:E25,Mentahan!H2,Transaksi!I2:I25)</f>
        <v>378000</v>
      </c>
      <c r="Q2">
        <v>2024</v>
      </c>
      <c r="R2" t="s">
        <v>56</v>
      </c>
    </row>
    <row r="3" spans="5:18" x14ac:dyDescent="0.45">
      <c r="E3">
        <v>2025</v>
      </c>
      <c r="F3" t="s">
        <v>57</v>
      </c>
      <c r="H3" t="s">
        <v>15</v>
      </c>
      <c r="I3">
        <f>SUMIF(Transaksi!$E$2:$E$13,Mentahan!H3,Transaksi!$H$2:$H$13)</f>
        <v>12</v>
      </c>
      <c r="J3" s="4">
        <f>SUMIF(Transaksi!E2:E26,Mentahan!H3,Transaksi!I2:I26)</f>
        <v>378000</v>
      </c>
      <c r="Q3">
        <v>2025</v>
      </c>
      <c r="R3" t="s">
        <v>57</v>
      </c>
    </row>
    <row r="4" spans="5:18" x14ac:dyDescent="0.45">
      <c r="E4">
        <v>2026</v>
      </c>
      <c r="F4" t="s">
        <v>58</v>
      </c>
      <c r="H4" t="s">
        <v>14</v>
      </c>
      <c r="I4">
        <f>SUMIF(Transaksi!$E$2:$E$13,Mentahan!H4,Transaksi!$H$2:$H$13)</f>
        <v>15</v>
      </c>
      <c r="J4" s="4">
        <f>SUMIF(Transaksi!E2:E27,Mentahan!H4,Transaksi!I2:I27)</f>
        <v>607500</v>
      </c>
      <c r="Q4">
        <v>2026</v>
      </c>
      <c r="R4" t="s">
        <v>58</v>
      </c>
    </row>
    <row r="5" spans="5:18" x14ac:dyDescent="0.45">
      <c r="E5">
        <v>2027</v>
      </c>
      <c r="F5" t="s">
        <v>31</v>
      </c>
      <c r="H5" t="s">
        <v>35</v>
      </c>
      <c r="I5">
        <f>SUM(I2:I4)</f>
        <v>39</v>
      </c>
      <c r="Q5">
        <v>2027</v>
      </c>
      <c r="R5" t="s">
        <v>31</v>
      </c>
    </row>
    <row r="6" spans="5:18" x14ac:dyDescent="0.45">
      <c r="E6">
        <v>2028</v>
      </c>
      <c r="F6" t="s">
        <v>24</v>
      </c>
      <c r="Q6">
        <v>2028</v>
      </c>
      <c r="R6" t="s">
        <v>24</v>
      </c>
    </row>
    <row r="7" spans="5:18" x14ac:dyDescent="0.45">
      <c r="E7">
        <v>2029</v>
      </c>
      <c r="F7" t="s">
        <v>59</v>
      </c>
      <c r="Q7">
        <v>2029</v>
      </c>
      <c r="R7" t="s">
        <v>59</v>
      </c>
    </row>
    <row r="8" spans="5:18" x14ac:dyDescent="0.45">
      <c r="E8">
        <v>2030</v>
      </c>
      <c r="F8" t="s">
        <v>32</v>
      </c>
      <c r="Q8">
        <v>2030</v>
      </c>
      <c r="R8" t="s">
        <v>32</v>
      </c>
    </row>
    <row r="9" spans="5:18" x14ac:dyDescent="0.45">
      <c r="E9">
        <v>2031</v>
      </c>
      <c r="F9" t="s">
        <v>60</v>
      </c>
      <c r="H9" t="s">
        <v>27</v>
      </c>
      <c r="I9">
        <f>Pembukuan!$H$4</f>
        <v>5000000</v>
      </c>
      <c r="Q9">
        <v>2031</v>
      </c>
      <c r="R9" t="s">
        <v>60</v>
      </c>
    </row>
    <row r="10" spans="5:18" x14ac:dyDescent="0.45">
      <c r="E10">
        <v>2032</v>
      </c>
      <c r="F10" t="s">
        <v>33</v>
      </c>
      <c r="H10" t="s">
        <v>28</v>
      </c>
      <c r="I10">
        <f>Pembukuan!$H$5</f>
        <v>5000000</v>
      </c>
      <c r="Q10">
        <v>2032</v>
      </c>
      <c r="R10" t="s">
        <v>33</v>
      </c>
    </row>
    <row r="11" spans="5:18" x14ac:dyDescent="0.45">
      <c r="E11">
        <v>2033</v>
      </c>
      <c r="F11" t="s">
        <v>61</v>
      </c>
      <c r="H11" t="s">
        <v>29</v>
      </c>
      <c r="I11">
        <f>Pembukuan!$H$6</f>
        <v>0</v>
      </c>
      <c r="Q11">
        <v>2033</v>
      </c>
      <c r="R11" t="s">
        <v>61</v>
      </c>
    </row>
    <row r="12" spans="5:18" x14ac:dyDescent="0.45">
      <c r="E12">
        <v>2034</v>
      </c>
      <c r="F12" t="s">
        <v>25</v>
      </c>
      <c r="H12" t="s">
        <v>30</v>
      </c>
      <c r="I12">
        <f>Pembukuan!$H$7</f>
        <v>5000000</v>
      </c>
      <c r="Q12">
        <v>2034</v>
      </c>
      <c r="R12" t="s">
        <v>25</v>
      </c>
    </row>
    <row r="13" spans="5:18" x14ac:dyDescent="0.45">
      <c r="E13">
        <v>2035</v>
      </c>
      <c r="F13" t="s">
        <v>62</v>
      </c>
      <c r="H13" t="s">
        <v>21</v>
      </c>
      <c r="I13" t="str">
        <f>Pembukuan!$H$8</f>
        <v>Laba</v>
      </c>
      <c r="Q13">
        <v>2035</v>
      </c>
      <c r="R13" t="s">
        <v>62</v>
      </c>
    </row>
    <row r="14" spans="5:18" x14ac:dyDescent="0.45">
      <c r="H14" t="s">
        <v>55</v>
      </c>
      <c r="I14">
        <f>SUM(Transaksi!$I$2:$I$83)</f>
        <v>1363500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7FEC7-CED2-4630-A446-F407E33A32EA}">
  <sheetPr codeName="Sheet7"/>
  <dimension ref="A1:B4"/>
  <sheetViews>
    <sheetView workbookViewId="0">
      <selection activeCell="B10" sqref="B10"/>
    </sheetView>
  </sheetViews>
  <sheetFormatPr defaultRowHeight="14.25" x14ac:dyDescent="0.45"/>
  <sheetData>
    <row r="1" spans="1:2" x14ac:dyDescent="0.45">
      <c r="A1" t="s">
        <v>12</v>
      </c>
    </row>
    <row r="2" spans="1:2" x14ac:dyDescent="0.45">
      <c r="A2" t="s">
        <v>13</v>
      </c>
      <c r="B2">
        <v>35000</v>
      </c>
    </row>
    <row r="3" spans="1:2" x14ac:dyDescent="0.45">
      <c r="A3" t="s">
        <v>15</v>
      </c>
      <c r="B3">
        <v>35000</v>
      </c>
    </row>
    <row r="4" spans="1:2" x14ac:dyDescent="0.45">
      <c r="A4" t="s">
        <v>14</v>
      </c>
      <c r="B4">
        <v>45000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C4816-0E79-41FF-8665-FBB74260DE57}">
  <sheetPr codeName="Sheet4"/>
  <dimension ref="B4:H60"/>
  <sheetViews>
    <sheetView tabSelected="1" workbookViewId="0">
      <selection activeCell="E21" sqref="E21"/>
    </sheetView>
  </sheetViews>
  <sheetFormatPr defaultRowHeight="14.25" x14ac:dyDescent="0.45"/>
  <cols>
    <col min="1" max="1" width="4.19921875" customWidth="1"/>
    <col min="2" max="2" width="5.86328125" bestFit="1" customWidth="1"/>
    <col min="3" max="3" width="16.1328125" bestFit="1" customWidth="1"/>
    <col min="4" max="4" width="15.73046875" customWidth="1"/>
    <col min="5" max="5" width="22.06640625" customWidth="1"/>
    <col min="7" max="8" width="11" bestFit="1" customWidth="1"/>
  </cols>
  <sheetData>
    <row r="4" spans="2:8" x14ac:dyDescent="0.45">
      <c r="G4" s="8" t="s">
        <v>27</v>
      </c>
      <c r="H4">
        <f>$H$11</f>
        <v>5000000</v>
      </c>
    </row>
    <row r="5" spans="2:8" x14ac:dyDescent="0.45">
      <c r="G5" s="8" t="s">
        <v>28</v>
      </c>
      <c r="H5">
        <f>SUM(F11:F57)</f>
        <v>5000000</v>
      </c>
    </row>
    <row r="6" spans="2:8" x14ac:dyDescent="0.45">
      <c r="B6" s="30" t="s">
        <v>19</v>
      </c>
      <c r="C6" s="30"/>
      <c r="D6" s="29">
        <f>HCari!K6</f>
        <v>2024</v>
      </c>
      <c r="G6" s="8" t="s">
        <v>29</v>
      </c>
      <c r="H6">
        <f>SUM(G11:G57)</f>
        <v>0</v>
      </c>
    </row>
    <row r="7" spans="2:8" x14ac:dyDescent="0.45">
      <c r="B7" s="30" t="s">
        <v>20</v>
      </c>
      <c r="C7" s="30"/>
      <c r="D7" s="29" t="str">
        <f>HCari!L6</f>
        <v>Juli</v>
      </c>
      <c r="G7" s="8" t="s">
        <v>30</v>
      </c>
      <c r="H7">
        <f>H5-H6</f>
        <v>5000000</v>
      </c>
    </row>
    <row r="8" spans="2:8" x14ac:dyDescent="0.45">
      <c r="G8" s="8" t="s">
        <v>21</v>
      </c>
      <c r="H8" s="7" t="str">
        <f>IF(H7&gt;0,"Laba","Rugi")</f>
        <v>Laba</v>
      </c>
    </row>
    <row r="10" spans="2:8" ht="14.65" thickBot="1" x14ac:dyDescent="0.5">
      <c r="B10" s="9" t="s">
        <v>16</v>
      </c>
      <c r="C10" s="9" t="s">
        <v>18</v>
      </c>
      <c r="D10" s="9" t="s">
        <v>17</v>
      </c>
      <c r="E10" s="9" t="s">
        <v>21</v>
      </c>
      <c r="F10" s="9" t="s">
        <v>22</v>
      </c>
      <c r="G10" s="9" t="s">
        <v>23</v>
      </c>
      <c r="H10" s="9" t="s">
        <v>26</v>
      </c>
    </row>
    <row r="11" spans="2:8" ht="14.65" thickTop="1" x14ac:dyDescent="0.45">
      <c r="B11">
        <f>IF(HCari!A6="","",ROW()-ROW(Pembukuan!$B$10))</f>
        <v>1</v>
      </c>
      <c r="C11" s="2" t="str">
        <f>IF(HCari!B6="","",HCari!B6)</f>
        <v>PEMASUKKAN</v>
      </c>
      <c r="D11" s="2">
        <f>IF(HCari!C6="","",HCari!C6)</f>
        <v>45389</v>
      </c>
      <c r="E11" t="str">
        <f>IF(HCari!F6="","",HCari!F6)</f>
        <v>Pendapatan</v>
      </c>
      <c r="F11">
        <f>IF(HCari!G6="","",HCari!G6)</f>
        <v>5000000</v>
      </c>
      <c r="G11" t="str">
        <f>IF(HCari!H6="","",HCari!H6)</f>
        <v/>
      </c>
      <c r="H11">
        <f>IF(F11="","",F11)</f>
        <v>5000000</v>
      </c>
    </row>
    <row r="12" spans="2:8" x14ac:dyDescent="0.45">
      <c r="B12" t="str">
        <f>IF(HCari!A7="","",ROW()-ROW(Pembukuan!$B$10))</f>
        <v/>
      </c>
      <c r="C12" s="2" t="str">
        <f>IF(HCari!B7="","",HCari!B7)</f>
        <v/>
      </c>
      <c r="D12" s="2" t="str">
        <f>IF(HCari!C7="","",HCari!C7)</f>
        <v/>
      </c>
      <c r="E12" t="str">
        <f>IF(HCari!F7="","",HCari!F7)</f>
        <v/>
      </c>
      <c r="F12" t="str">
        <f>IF(HCari!G7="","",HCari!G7)</f>
        <v/>
      </c>
      <c r="G12" t="str">
        <f>IF(HCari!H7="","",HCari!H7)</f>
        <v/>
      </c>
      <c r="H12" t="str">
        <f>IFERROR(IF(F12="",H11-G12,IF(G12="",H11+F12)),"")</f>
        <v/>
      </c>
    </row>
    <row r="13" spans="2:8" x14ac:dyDescent="0.45">
      <c r="B13" t="str">
        <f>IF(HCari!A8="","",ROW()-ROW(Pembukuan!$B$10))</f>
        <v/>
      </c>
      <c r="C13" s="2" t="str">
        <f>IF(HCari!B8="","",HCari!B8)</f>
        <v/>
      </c>
      <c r="D13" s="2" t="str">
        <f>IF(HCari!C8="","",HCari!C8)</f>
        <v/>
      </c>
      <c r="E13" t="str">
        <f>IF(HCari!F8="","",HCari!F8)</f>
        <v/>
      </c>
      <c r="F13" t="str">
        <f>IF(HCari!G8="","",HCari!G8)</f>
        <v/>
      </c>
      <c r="G13" t="str">
        <f>IF(HCari!H8="","",HCari!H8)</f>
        <v/>
      </c>
      <c r="H13" t="str">
        <f t="shared" ref="H13:H60" si="0">IFERROR(IF(F13="",H12-G13,IF(G13="",H12+F13)),"")</f>
        <v/>
      </c>
    </row>
    <row r="14" spans="2:8" x14ac:dyDescent="0.45">
      <c r="B14" t="str">
        <f>IF(HCari!A9="","",ROW()-ROW(Pembukuan!$B$10))</f>
        <v/>
      </c>
      <c r="C14" s="2" t="str">
        <f>IF(HCari!B9="","",HCari!B9)</f>
        <v/>
      </c>
      <c r="D14" s="2" t="str">
        <f>IF(HCari!C9="","",HCari!C9)</f>
        <v/>
      </c>
      <c r="E14" t="str">
        <f>IF(HCari!F9="","",HCari!F9)</f>
        <v/>
      </c>
      <c r="F14" t="str">
        <f>IF(HCari!G9="","",HCari!G9)</f>
        <v/>
      </c>
      <c r="G14" t="str">
        <f>IF(HCari!H9="","",HCari!H9)</f>
        <v/>
      </c>
      <c r="H14" t="str">
        <f t="shared" si="0"/>
        <v/>
      </c>
    </row>
    <row r="15" spans="2:8" x14ac:dyDescent="0.45">
      <c r="B15" t="str">
        <f>IF(HCari!A10="","",ROW()-ROW(Pembukuan!$B$10))</f>
        <v/>
      </c>
      <c r="C15" s="2" t="str">
        <f>IF(HCari!B10="","",HCari!B10)</f>
        <v/>
      </c>
      <c r="D15" s="2" t="str">
        <f>IF(HCari!C10="","",HCari!C10)</f>
        <v/>
      </c>
      <c r="E15" t="str">
        <f>IF(HCari!F10="","",HCari!F10)</f>
        <v/>
      </c>
      <c r="F15" t="str">
        <f>IF(HCari!G10="","",HCari!G10)</f>
        <v/>
      </c>
      <c r="G15" t="str">
        <f>IF(HCari!H10="","",HCari!H10)</f>
        <v/>
      </c>
      <c r="H15" t="str">
        <f t="shared" si="0"/>
        <v/>
      </c>
    </row>
    <row r="16" spans="2:8" x14ac:dyDescent="0.45">
      <c r="B16" t="str">
        <f>IF(HCari!A11="","",ROW()-ROW(Pembukuan!$B$10))</f>
        <v/>
      </c>
      <c r="C16" s="2" t="str">
        <f>IF(HCari!B11="","",HCari!B11)</f>
        <v/>
      </c>
      <c r="D16" s="2" t="str">
        <f>IF(HCari!C11="","",HCari!C11)</f>
        <v/>
      </c>
      <c r="E16" t="str">
        <f>IF(HCari!F11="","",HCari!F11)</f>
        <v/>
      </c>
      <c r="F16" t="str">
        <f>IF(HCari!G11="","",HCari!G11)</f>
        <v/>
      </c>
      <c r="G16" t="str">
        <f>IF(HCari!H11="","",HCari!H11)</f>
        <v/>
      </c>
      <c r="H16" t="str">
        <f t="shared" si="0"/>
        <v/>
      </c>
    </row>
    <row r="17" spans="2:8" x14ac:dyDescent="0.45">
      <c r="B17" t="str">
        <f>IF(HCari!A12="","",ROW()-ROW(Pembukuan!$B$10))</f>
        <v/>
      </c>
      <c r="C17" s="2" t="str">
        <f>IF(HCari!B12="","",HCari!B12)</f>
        <v/>
      </c>
      <c r="D17" s="2" t="str">
        <f>IF(HCari!C12="","",HCari!C12)</f>
        <v/>
      </c>
      <c r="E17" t="str">
        <f>IF(HCari!F12="","",HCari!F12)</f>
        <v/>
      </c>
      <c r="F17" t="str">
        <f>IF(HCari!G12="","",HCari!G12)</f>
        <v/>
      </c>
      <c r="G17" t="str">
        <f>IF(HCari!H12="","",HCari!H12)</f>
        <v/>
      </c>
      <c r="H17" t="str">
        <f t="shared" si="0"/>
        <v/>
      </c>
    </row>
    <row r="18" spans="2:8" x14ac:dyDescent="0.45">
      <c r="B18" t="str">
        <f>IF(HCari!A13="","",ROW()-ROW(Pembukuan!$B$10))</f>
        <v/>
      </c>
      <c r="C18" s="2" t="str">
        <f>IF(HCari!B13="","",HCari!B13)</f>
        <v/>
      </c>
      <c r="D18" s="2" t="str">
        <f>IF(HCari!C13="","",HCari!C13)</f>
        <v/>
      </c>
      <c r="E18" t="str">
        <f>IF(HCari!F13="","",HCari!F13)</f>
        <v/>
      </c>
      <c r="F18" t="str">
        <f>IF(HCari!G13="","",HCari!G13)</f>
        <v/>
      </c>
      <c r="G18" t="str">
        <f>IF(HCari!H13="","",HCari!H13)</f>
        <v/>
      </c>
      <c r="H18" t="str">
        <f t="shared" si="0"/>
        <v/>
      </c>
    </row>
    <row r="19" spans="2:8" x14ac:dyDescent="0.45">
      <c r="B19" t="str">
        <f>IF(HCari!A14="","",ROW()-ROW(Pembukuan!$B$10))</f>
        <v/>
      </c>
      <c r="C19" s="2" t="str">
        <f>IF(HCari!B14="","",HCari!B14)</f>
        <v/>
      </c>
      <c r="D19" s="2" t="str">
        <f>IF(HCari!C14="","",HCari!C14)</f>
        <v/>
      </c>
      <c r="E19" t="str">
        <f>IF(HCari!F14="","",HCari!F14)</f>
        <v/>
      </c>
      <c r="F19" t="str">
        <f>IF(HCari!G14="","",HCari!G14)</f>
        <v/>
      </c>
      <c r="G19" t="str">
        <f>IF(HCari!H14="","",HCari!H14)</f>
        <v/>
      </c>
      <c r="H19" t="str">
        <f t="shared" si="0"/>
        <v/>
      </c>
    </row>
    <row r="20" spans="2:8" x14ac:dyDescent="0.45">
      <c r="B20" t="str">
        <f>IF(HCari!A15="","",ROW()-ROW(Pembukuan!$B$10))</f>
        <v/>
      </c>
      <c r="C20" s="2" t="str">
        <f>IF(HCari!B15="","",HCari!B15)</f>
        <v/>
      </c>
      <c r="D20" s="2" t="str">
        <f>IF(HCari!C15="","",HCari!C15)</f>
        <v/>
      </c>
      <c r="E20" t="str">
        <f>IF(HCari!F15="","",HCari!F15)</f>
        <v/>
      </c>
      <c r="F20" t="str">
        <f>IF(HCari!G15="","",HCari!G15)</f>
        <v/>
      </c>
      <c r="G20" t="str">
        <f>IF(HCari!H15="","",HCari!H15)</f>
        <v/>
      </c>
      <c r="H20" t="str">
        <f t="shared" si="0"/>
        <v/>
      </c>
    </row>
    <row r="21" spans="2:8" x14ac:dyDescent="0.45">
      <c r="B21" t="str">
        <f>IF(HCari!A16="","",ROW()-ROW(Pembukuan!$B$10))</f>
        <v/>
      </c>
      <c r="C21" s="2" t="str">
        <f>IF(HCari!B16="","",HCari!B16)</f>
        <v/>
      </c>
      <c r="D21" s="2" t="str">
        <f>IF(HCari!C16="","",HCari!C16)</f>
        <v/>
      </c>
      <c r="E21" t="str">
        <f>IF(HCari!F16="","",HCari!F16)</f>
        <v/>
      </c>
      <c r="F21" t="str">
        <f>IF(HCari!G16="","",HCari!G16)</f>
        <v/>
      </c>
      <c r="G21" t="str">
        <f>IF(HCari!H16="","",HCari!H16)</f>
        <v/>
      </c>
      <c r="H21" t="str">
        <f t="shared" si="0"/>
        <v/>
      </c>
    </row>
    <row r="22" spans="2:8" x14ac:dyDescent="0.45">
      <c r="B22" t="str">
        <f>IF(HCari!A17="","",ROW()-ROW(Pembukuan!$B$10))</f>
        <v/>
      </c>
      <c r="C22" s="2" t="str">
        <f>IF(HCari!B17="","",HCari!B17)</f>
        <v/>
      </c>
      <c r="D22" s="2" t="str">
        <f>IF(HCari!C17="","",HCari!C17)</f>
        <v/>
      </c>
      <c r="E22" t="str">
        <f>IF(HCari!F17="","",HCari!F17)</f>
        <v/>
      </c>
      <c r="F22" t="str">
        <f>IF(HCari!G17="","",HCari!G17)</f>
        <v/>
      </c>
      <c r="G22" t="str">
        <f>IF(HCari!H17="","",HCari!H17)</f>
        <v/>
      </c>
      <c r="H22" t="str">
        <f t="shared" si="0"/>
        <v/>
      </c>
    </row>
    <row r="23" spans="2:8" x14ac:dyDescent="0.45">
      <c r="B23" t="str">
        <f>IF(HCari!A18="","",ROW()-ROW(Pembukuan!$B$10))</f>
        <v/>
      </c>
      <c r="C23" s="2" t="str">
        <f>IF(HCari!B18="","",HCari!B18)</f>
        <v/>
      </c>
      <c r="D23" s="2" t="str">
        <f>IF(HCari!C18="","",HCari!C18)</f>
        <v/>
      </c>
      <c r="E23" t="str">
        <f>IF(HCari!F18="","",HCari!F18)</f>
        <v/>
      </c>
      <c r="F23" t="str">
        <f>IF(HCari!G18="","",HCari!G18)</f>
        <v/>
      </c>
      <c r="G23" t="str">
        <f>IF(HCari!H18="","",HCari!H18)</f>
        <v/>
      </c>
      <c r="H23" t="str">
        <f t="shared" si="0"/>
        <v/>
      </c>
    </row>
    <row r="24" spans="2:8" x14ac:dyDescent="0.45">
      <c r="B24" t="str">
        <f>IF(HCari!A19="","",ROW()-ROW(Pembukuan!$B$10))</f>
        <v/>
      </c>
      <c r="C24" s="2" t="str">
        <f>IF(HCari!B19="","",HCari!B19)</f>
        <v/>
      </c>
      <c r="D24" s="2" t="str">
        <f>IF(HCari!C19="","",HCari!C19)</f>
        <v/>
      </c>
      <c r="E24" t="str">
        <f>IF(HCari!F19="","",HCari!F19)</f>
        <v/>
      </c>
      <c r="F24" t="str">
        <f>IF(HCari!G19="","",HCari!G19)</f>
        <v/>
      </c>
      <c r="G24" t="str">
        <f>IF(HCari!H19="","",HCari!H19)</f>
        <v/>
      </c>
      <c r="H24" t="str">
        <f t="shared" si="0"/>
        <v/>
      </c>
    </row>
    <row r="25" spans="2:8" x14ac:dyDescent="0.45">
      <c r="B25" t="str">
        <f>IF(HCari!A20="","",ROW()-ROW(Pembukuan!$B$10))</f>
        <v/>
      </c>
      <c r="C25" s="2" t="str">
        <f>IF(HCari!B20="","",HCari!B20)</f>
        <v/>
      </c>
      <c r="D25" s="2" t="str">
        <f>IF(HCari!C20="","",HCari!C20)</f>
        <v/>
      </c>
      <c r="E25" t="str">
        <f>IF(HCari!F20="","",HCari!F20)</f>
        <v/>
      </c>
      <c r="F25" t="str">
        <f>IF(HCari!G20="","",HCari!G20)</f>
        <v/>
      </c>
      <c r="G25" t="str">
        <f>IF(HCari!H20="","",HCari!H20)</f>
        <v/>
      </c>
      <c r="H25" t="str">
        <f t="shared" si="0"/>
        <v/>
      </c>
    </row>
    <row r="26" spans="2:8" x14ac:dyDescent="0.45">
      <c r="B26" t="str">
        <f>IF(HCari!A21="","",ROW()-ROW(Pembukuan!$B$10))</f>
        <v/>
      </c>
      <c r="C26" s="2" t="str">
        <f>IF(HCari!B21="","",HCari!B21)</f>
        <v/>
      </c>
      <c r="D26" s="2" t="str">
        <f>IF(HCari!C21="","",HCari!C21)</f>
        <v/>
      </c>
      <c r="E26" t="str">
        <f>IF(HCari!F21="","",HCari!F21)</f>
        <v/>
      </c>
      <c r="F26" t="str">
        <f>IF(HCari!G21="","",HCari!G21)</f>
        <v/>
      </c>
      <c r="G26" t="str">
        <f>IF(HCari!H21="","",HCari!H21)</f>
        <v/>
      </c>
      <c r="H26" t="str">
        <f t="shared" si="0"/>
        <v/>
      </c>
    </row>
    <row r="27" spans="2:8" x14ac:dyDescent="0.45">
      <c r="B27" t="str">
        <f>IF(HCari!A22="","",ROW()-ROW(Pembukuan!$B$10))</f>
        <v/>
      </c>
      <c r="C27" s="2" t="str">
        <f>IF(HCari!B22="","",HCari!B22)</f>
        <v/>
      </c>
      <c r="D27" s="2" t="str">
        <f>IF(HCari!C22="","",HCari!C22)</f>
        <v/>
      </c>
      <c r="E27" t="str">
        <f>IF(HCari!F22="","",HCari!F22)</f>
        <v/>
      </c>
      <c r="F27" t="str">
        <f>IF(HCari!G22="","",HCari!G22)</f>
        <v/>
      </c>
      <c r="G27" t="str">
        <f>IF(HCari!H22="","",HCari!H22)</f>
        <v/>
      </c>
      <c r="H27" t="str">
        <f t="shared" si="0"/>
        <v/>
      </c>
    </row>
    <row r="28" spans="2:8" x14ac:dyDescent="0.45">
      <c r="B28" t="str">
        <f>IF(HCari!A23="","",ROW()-ROW(Pembukuan!$B$10))</f>
        <v/>
      </c>
      <c r="C28" s="2" t="str">
        <f>IF(HCari!B23="","",HCari!B23)</f>
        <v/>
      </c>
      <c r="D28" s="2" t="str">
        <f>IF(HCari!C23="","",HCari!C23)</f>
        <v/>
      </c>
      <c r="E28" t="str">
        <f>IF(HCari!F23="","",HCari!F23)</f>
        <v/>
      </c>
      <c r="F28" t="str">
        <f>IF(HCari!G23="","",HCari!G23)</f>
        <v/>
      </c>
      <c r="G28" t="str">
        <f>IF(HCari!H23="","",HCari!H23)</f>
        <v/>
      </c>
      <c r="H28" t="str">
        <f t="shared" si="0"/>
        <v/>
      </c>
    </row>
    <row r="29" spans="2:8" x14ac:dyDescent="0.45">
      <c r="B29" t="str">
        <f>IF(HCari!A24="","",ROW()-ROW(Pembukuan!$B$10))</f>
        <v/>
      </c>
      <c r="C29" s="2" t="str">
        <f>IF(HCari!B24="","",HCari!B24)</f>
        <v/>
      </c>
      <c r="D29" s="2" t="str">
        <f>IF(HCari!C24="","",HCari!C24)</f>
        <v/>
      </c>
      <c r="E29" t="str">
        <f>IF(HCari!F24="","",HCari!F24)</f>
        <v/>
      </c>
      <c r="F29" t="str">
        <f>IF(HCari!G24="","",HCari!G24)</f>
        <v/>
      </c>
      <c r="G29" t="str">
        <f>IF(HCari!H24="","",HCari!H24)</f>
        <v/>
      </c>
      <c r="H29" t="str">
        <f t="shared" si="0"/>
        <v/>
      </c>
    </row>
    <row r="30" spans="2:8" x14ac:dyDescent="0.45">
      <c r="B30" t="str">
        <f>IF(HCari!A25="","",ROW()-ROW(Pembukuan!$B$10))</f>
        <v/>
      </c>
      <c r="C30" s="2" t="str">
        <f>IF(HCari!B25="","",HCari!B25)</f>
        <v/>
      </c>
      <c r="D30" s="2" t="str">
        <f>IF(HCari!C25="","",HCari!C25)</f>
        <v/>
      </c>
      <c r="E30" t="str">
        <f>IF(HCari!F25="","",HCari!F25)</f>
        <v/>
      </c>
      <c r="F30" t="str">
        <f>IF(HCari!G25="","",HCari!G25)</f>
        <v/>
      </c>
      <c r="G30" t="str">
        <f>IF(HCari!H25="","",HCari!H25)</f>
        <v/>
      </c>
      <c r="H30" t="str">
        <f t="shared" si="0"/>
        <v/>
      </c>
    </row>
    <row r="31" spans="2:8" x14ac:dyDescent="0.45">
      <c r="B31" t="str">
        <f>IF(HCari!A26="","",ROW()-ROW(Pembukuan!$B$10))</f>
        <v/>
      </c>
      <c r="C31" s="2" t="str">
        <f>IF(HCari!B26="","",HCari!B26)</f>
        <v/>
      </c>
      <c r="D31" s="2" t="str">
        <f>IF(HCari!C26="","",HCari!C26)</f>
        <v/>
      </c>
      <c r="E31" t="str">
        <f>IF(HCari!F26="","",HCari!F26)</f>
        <v/>
      </c>
      <c r="F31" t="str">
        <f>IF(HCari!G26="","",HCari!G26)</f>
        <v/>
      </c>
      <c r="G31" t="str">
        <f>IF(HCari!H26="","",HCari!H26)</f>
        <v/>
      </c>
      <c r="H31" t="str">
        <f t="shared" si="0"/>
        <v/>
      </c>
    </row>
    <row r="32" spans="2:8" x14ac:dyDescent="0.45">
      <c r="B32" t="str">
        <f>IF(HCari!A27="","",ROW()-ROW(Pembukuan!$B$10))</f>
        <v/>
      </c>
      <c r="C32" s="2" t="str">
        <f>IF(HCari!B27="","",HCari!B27)</f>
        <v/>
      </c>
      <c r="D32" s="2" t="str">
        <f>IF(HCari!C27="","",HCari!C27)</f>
        <v/>
      </c>
      <c r="E32" t="str">
        <f>IF(HCari!F27="","",HCari!F27)</f>
        <v/>
      </c>
      <c r="F32" t="str">
        <f>IF(HCari!G27="","",HCari!G27)</f>
        <v/>
      </c>
      <c r="G32" t="str">
        <f>IF(HCari!H27="","",HCari!H27)</f>
        <v/>
      </c>
      <c r="H32" t="str">
        <f t="shared" si="0"/>
        <v/>
      </c>
    </row>
    <row r="33" spans="2:8" x14ac:dyDescent="0.45">
      <c r="B33" t="str">
        <f>IF(HCari!A28="","",ROW()-ROW(Pembukuan!$B$10))</f>
        <v/>
      </c>
      <c r="C33" s="2" t="str">
        <f>IF(HCari!B28="","",HCari!B28)</f>
        <v/>
      </c>
      <c r="D33" s="2" t="str">
        <f>IF(HCari!C28="","",HCari!C28)</f>
        <v/>
      </c>
      <c r="E33" t="str">
        <f>IF(HCari!F28="","",HCari!F28)</f>
        <v/>
      </c>
      <c r="F33" t="str">
        <f>IF(HCari!G28="","",HCari!G28)</f>
        <v/>
      </c>
      <c r="G33" t="str">
        <f>IF(HCari!H28="","",HCari!H28)</f>
        <v/>
      </c>
      <c r="H33" t="str">
        <f t="shared" si="0"/>
        <v/>
      </c>
    </row>
    <row r="34" spans="2:8" x14ac:dyDescent="0.45">
      <c r="B34" t="str">
        <f>IF(HCari!A29="","",ROW()-ROW(Pembukuan!$B$10))</f>
        <v/>
      </c>
      <c r="C34" s="2" t="str">
        <f>IF(HCari!B29="","",HCari!B29)</f>
        <v/>
      </c>
      <c r="D34" s="2" t="str">
        <f>IF(HCari!C29="","",HCari!C29)</f>
        <v/>
      </c>
      <c r="E34" t="str">
        <f>IF(HCari!F29="","",HCari!F29)</f>
        <v/>
      </c>
      <c r="F34" t="str">
        <f>IF(HCari!G29="","",HCari!G29)</f>
        <v/>
      </c>
      <c r="G34" t="str">
        <f>IF(HCari!H29="","",HCari!H29)</f>
        <v/>
      </c>
      <c r="H34" t="str">
        <f t="shared" si="0"/>
        <v/>
      </c>
    </row>
    <row r="35" spans="2:8" x14ac:dyDescent="0.45">
      <c r="B35" t="str">
        <f>IF(HCari!A30="","",ROW()-ROW(Pembukuan!$B$10))</f>
        <v/>
      </c>
      <c r="C35" s="2" t="str">
        <f>IF(HCari!B30="","",HCari!B30)</f>
        <v/>
      </c>
      <c r="D35" s="2" t="str">
        <f>IF(HCari!C30="","",HCari!C30)</f>
        <v/>
      </c>
      <c r="E35" t="str">
        <f>IF(HCari!F30="","",HCari!F30)</f>
        <v/>
      </c>
      <c r="F35" t="str">
        <f>IF(HCari!G30="","",HCari!G30)</f>
        <v/>
      </c>
      <c r="G35" t="str">
        <f>IF(HCari!H30="","",HCari!H30)</f>
        <v/>
      </c>
      <c r="H35" t="str">
        <f t="shared" si="0"/>
        <v/>
      </c>
    </row>
    <row r="36" spans="2:8" x14ac:dyDescent="0.45">
      <c r="B36" t="str">
        <f>IF(HCari!A31="","",ROW()-ROW(Pembukuan!$B$10))</f>
        <v/>
      </c>
      <c r="C36" s="2" t="str">
        <f>IF(HCari!B31="","",HCari!B31)</f>
        <v/>
      </c>
      <c r="D36" s="2" t="str">
        <f>IF(HCari!C31="","",HCari!C31)</f>
        <v/>
      </c>
      <c r="E36" t="str">
        <f>IF(HCari!F31="","",HCari!F31)</f>
        <v/>
      </c>
      <c r="F36" t="str">
        <f>IF(HCari!G31="","",HCari!G31)</f>
        <v/>
      </c>
      <c r="G36" t="str">
        <f>IF(HCari!H31="","",HCari!H31)</f>
        <v/>
      </c>
      <c r="H36" t="str">
        <f t="shared" si="0"/>
        <v/>
      </c>
    </row>
    <row r="37" spans="2:8" x14ac:dyDescent="0.45">
      <c r="B37" t="str">
        <f>IF(HCari!A32="","",ROW()-ROW(Pembukuan!$B$10))</f>
        <v/>
      </c>
      <c r="C37" s="2" t="str">
        <f>IF(HCari!B32="","",HCari!B32)</f>
        <v/>
      </c>
      <c r="D37" s="2" t="str">
        <f>IF(HCari!C32="","",HCari!C32)</f>
        <v/>
      </c>
      <c r="E37" t="str">
        <f>IF(HCari!F32="","",HCari!F32)</f>
        <v/>
      </c>
      <c r="F37" t="str">
        <f>IF(HCari!G32="","",HCari!G32)</f>
        <v/>
      </c>
      <c r="G37" t="str">
        <f>IF(HCari!H32="","",HCari!H32)</f>
        <v/>
      </c>
      <c r="H37" t="str">
        <f t="shared" si="0"/>
        <v/>
      </c>
    </row>
    <row r="38" spans="2:8" x14ac:dyDescent="0.45">
      <c r="B38" t="str">
        <f>IF(HCari!A33="","",ROW()-ROW(Pembukuan!$B$10))</f>
        <v/>
      </c>
      <c r="C38" s="2" t="str">
        <f>IF(HCari!B33="","",HCari!B33)</f>
        <v/>
      </c>
      <c r="D38" s="2" t="str">
        <f>IF(HCari!C33="","",HCari!C33)</f>
        <v/>
      </c>
      <c r="E38" t="str">
        <f>IF(HCari!F33="","",HCari!F33)</f>
        <v/>
      </c>
      <c r="F38" t="str">
        <f>IF(HCari!G33="","",HCari!G33)</f>
        <v/>
      </c>
      <c r="G38" t="str">
        <f>IF(HCari!H33="","",HCari!H33)</f>
        <v/>
      </c>
      <c r="H38" t="str">
        <f t="shared" si="0"/>
        <v/>
      </c>
    </row>
    <row r="39" spans="2:8" x14ac:dyDescent="0.45">
      <c r="B39" t="str">
        <f>IF(HCari!A34="","",ROW()-ROW(Pembukuan!$B$10))</f>
        <v/>
      </c>
      <c r="C39" s="2" t="str">
        <f>IF(HCari!B34="","",HCari!B34)</f>
        <v/>
      </c>
      <c r="D39" s="2" t="str">
        <f>IF(HCari!C34="","",HCari!C34)</f>
        <v/>
      </c>
      <c r="E39" t="str">
        <f>IF(HCari!F34="","",HCari!F34)</f>
        <v/>
      </c>
      <c r="F39" t="str">
        <f>IF(HCari!G34="","",HCari!G34)</f>
        <v/>
      </c>
      <c r="G39" t="str">
        <f>IF(HCari!H34="","",HCari!H34)</f>
        <v/>
      </c>
      <c r="H39" t="str">
        <f t="shared" si="0"/>
        <v/>
      </c>
    </row>
    <row r="40" spans="2:8" x14ac:dyDescent="0.45">
      <c r="B40" t="str">
        <f>IF(HCari!A35="","",ROW()-ROW(Pembukuan!$B$10))</f>
        <v/>
      </c>
      <c r="C40" s="2" t="str">
        <f>IF(HCari!B35="","",HCari!B35)</f>
        <v/>
      </c>
      <c r="D40" s="2" t="str">
        <f>IF(HCari!C35="","",HCari!C35)</f>
        <v/>
      </c>
      <c r="E40" t="str">
        <f>IF(HCari!F35="","",HCari!F35)</f>
        <v/>
      </c>
      <c r="F40" t="str">
        <f>IF(HCari!G35="","",HCari!G35)</f>
        <v/>
      </c>
      <c r="G40" t="str">
        <f>IF(HCari!H35="","",HCari!H35)</f>
        <v/>
      </c>
      <c r="H40" t="str">
        <f t="shared" si="0"/>
        <v/>
      </c>
    </row>
    <row r="41" spans="2:8" x14ac:dyDescent="0.45">
      <c r="B41" t="str">
        <f>IF(HCari!A36="","",ROW()-ROW(Pembukuan!$B$10))</f>
        <v/>
      </c>
      <c r="C41" s="2" t="str">
        <f>IF(HCari!B36="","",HCari!B36)</f>
        <v/>
      </c>
      <c r="D41" s="2" t="str">
        <f>IF(HCari!C36="","",HCari!C36)</f>
        <v/>
      </c>
      <c r="E41" t="str">
        <f>IF(HCari!F36="","",HCari!F36)</f>
        <v/>
      </c>
      <c r="F41" t="str">
        <f>IF(HCari!G36="","",HCari!G36)</f>
        <v/>
      </c>
      <c r="G41" t="str">
        <f>IF(HCari!H36="","",HCari!H36)</f>
        <v/>
      </c>
      <c r="H41" t="str">
        <f t="shared" si="0"/>
        <v/>
      </c>
    </row>
    <row r="42" spans="2:8" x14ac:dyDescent="0.45">
      <c r="B42" t="str">
        <f>IF(HCari!A37="","",ROW()-ROW(Pembukuan!$B$10))</f>
        <v/>
      </c>
      <c r="C42" s="2" t="str">
        <f>IF(HCari!B37="","",HCari!B37)</f>
        <v/>
      </c>
      <c r="D42" s="2" t="str">
        <f>IF(HCari!C37="","",HCari!C37)</f>
        <v/>
      </c>
      <c r="E42" t="str">
        <f>IF(HCari!F37="","",HCari!F37)</f>
        <v/>
      </c>
      <c r="F42" t="str">
        <f>IF(HCari!G37="","",HCari!G37)</f>
        <v/>
      </c>
      <c r="G42" t="str">
        <f>IF(HCari!H37="","",HCari!H37)</f>
        <v/>
      </c>
      <c r="H42" t="str">
        <f t="shared" si="0"/>
        <v/>
      </c>
    </row>
    <row r="43" spans="2:8" x14ac:dyDescent="0.45">
      <c r="B43" t="str">
        <f>IF(HCari!A38="","",ROW()-ROW(Pembukuan!$B$10))</f>
        <v/>
      </c>
      <c r="C43" s="2" t="str">
        <f>IF(HCari!B38="","",HCari!B38)</f>
        <v/>
      </c>
      <c r="D43" s="2" t="str">
        <f>IF(HCari!C38="","",HCari!C38)</f>
        <v/>
      </c>
      <c r="E43" t="str">
        <f>IF(HCari!F38="","",HCari!F38)</f>
        <v/>
      </c>
      <c r="F43" t="str">
        <f>IF(HCari!G38="","",HCari!G38)</f>
        <v/>
      </c>
      <c r="G43" t="str">
        <f>IF(HCari!H38="","",HCari!H38)</f>
        <v/>
      </c>
      <c r="H43" t="str">
        <f t="shared" si="0"/>
        <v/>
      </c>
    </row>
    <row r="44" spans="2:8" x14ac:dyDescent="0.45">
      <c r="B44" t="str">
        <f>IF(HCari!A39="","",ROW()-ROW(Pembukuan!$B$10))</f>
        <v/>
      </c>
      <c r="C44" s="2" t="str">
        <f>IF(HCari!B39="","",HCari!B39)</f>
        <v/>
      </c>
      <c r="D44" s="2" t="str">
        <f>IF(HCari!C39="","",HCari!C39)</f>
        <v/>
      </c>
      <c r="E44" t="str">
        <f>IF(HCari!F39="","",HCari!F39)</f>
        <v/>
      </c>
      <c r="F44" t="str">
        <f>IF(HCari!G39="","",HCari!G39)</f>
        <v/>
      </c>
      <c r="G44" t="str">
        <f>IF(HCari!H39="","",HCari!H39)</f>
        <v/>
      </c>
      <c r="H44" t="str">
        <f t="shared" si="0"/>
        <v/>
      </c>
    </row>
    <row r="45" spans="2:8" x14ac:dyDescent="0.45">
      <c r="B45" t="str">
        <f>IF(HCari!A40="","",ROW()-ROW(Pembukuan!$B$10))</f>
        <v/>
      </c>
      <c r="C45" s="2" t="str">
        <f>IF(HCari!B40="","",HCari!B40)</f>
        <v/>
      </c>
      <c r="D45" s="2" t="str">
        <f>IF(HCari!C40="","",HCari!C40)</f>
        <v/>
      </c>
      <c r="E45" t="str">
        <f>IF(HCari!F40="","",HCari!F40)</f>
        <v/>
      </c>
      <c r="F45" t="str">
        <f>IF(HCari!G40="","",HCari!G40)</f>
        <v/>
      </c>
      <c r="G45" t="str">
        <f>IF(HCari!H40="","",HCari!H40)</f>
        <v/>
      </c>
      <c r="H45" t="str">
        <f t="shared" si="0"/>
        <v/>
      </c>
    </row>
    <row r="46" spans="2:8" x14ac:dyDescent="0.45">
      <c r="B46" t="str">
        <f>IF(HCari!A41="","",ROW()-ROW(Pembukuan!$B$10))</f>
        <v/>
      </c>
      <c r="C46" s="2" t="str">
        <f>IF(HCari!B41="","",HCari!B41)</f>
        <v/>
      </c>
      <c r="D46" s="2" t="str">
        <f>IF(HCari!C41="","",HCari!C41)</f>
        <v/>
      </c>
      <c r="E46" t="str">
        <f>IF(HCari!F41="","",HCari!F41)</f>
        <v/>
      </c>
      <c r="F46" t="str">
        <f>IF(HCari!G41="","",HCari!G41)</f>
        <v/>
      </c>
      <c r="G46" t="str">
        <f>IF(HCari!H41="","",HCari!H41)</f>
        <v/>
      </c>
      <c r="H46" t="str">
        <f t="shared" si="0"/>
        <v/>
      </c>
    </row>
    <row r="47" spans="2:8" x14ac:dyDescent="0.45">
      <c r="B47" t="str">
        <f>IF(HCari!A42="","",ROW()-ROW(Pembukuan!$B$10))</f>
        <v/>
      </c>
      <c r="C47" s="2" t="str">
        <f>IF(HCari!B42="","",HCari!B42)</f>
        <v/>
      </c>
      <c r="D47" s="2" t="str">
        <f>IF(HCari!C42="","",HCari!C42)</f>
        <v/>
      </c>
      <c r="E47" t="str">
        <f>IF(HCari!F42="","",HCari!F42)</f>
        <v/>
      </c>
      <c r="F47" t="str">
        <f>IF(HCari!G42="","",HCari!G42)</f>
        <v/>
      </c>
      <c r="G47" t="str">
        <f>IF(HCari!H42="","",HCari!H42)</f>
        <v/>
      </c>
      <c r="H47" t="str">
        <f t="shared" si="0"/>
        <v/>
      </c>
    </row>
    <row r="48" spans="2:8" x14ac:dyDescent="0.45">
      <c r="B48" t="str">
        <f>IF(HCari!A43="","",ROW()-ROW(Pembukuan!$B$10))</f>
        <v/>
      </c>
      <c r="C48" s="2" t="str">
        <f>IF(HCari!B43="","",HCari!B43)</f>
        <v/>
      </c>
      <c r="D48" s="2" t="str">
        <f>IF(HCari!C43="","",HCari!C43)</f>
        <v/>
      </c>
      <c r="E48" t="str">
        <f>IF(HCari!F43="","",HCari!F43)</f>
        <v/>
      </c>
      <c r="F48" t="str">
        <f>IF(HCari!G43="","",HCari!G43)</f>
        <v/>
      </c>
      <c r="G48" t="str">
        <f>IF(HCari!H43="","",HCari!H43)</f>
        <v/>
      </c>
      <c r="H48" t="str">
        <f t="shared" si="0"/>
        <v/>
      </c>
    </row>
    <row r="49" spans="2:8" x14ac:dyDescent="0.45">
      <c r="B49" t="str">
        <f>IF(HCari!A44="","",ROW()-ROW(Pembukuan!$B$10))</f>
        <v/>
      </c>
      <c r="C49" s="2" t="str">
        <f>IF(HCari!B44="","",HCari!B44)</f>
        <v/>
      </c>
      <c r="D49" s="2" t="str">
        <f>IF(HCari!C44="","",HCari!C44)</f>
        <v/>
      </c>
      <c r="E49" t="str">
        <f>IF(HCari!F44="","",HCari!F44)</f>
        <v/>
      </c>
      <c r="F49" t="str">
        <f>IF(HCari!G44="","",HCari!G44)</f>
        <v/>
      </c>
      <c r="G49" t="str">
        <f>IF(HCari!H44="","",HCari!H44)</f>
        <v/>
      </c>
      <c r="H49" t="str">
        <f t="shared" si="0"/>
        <v/>
      </c>
    </row>
    <row r="50" spans="2:8" x14ac:dyDescent="0.45">
      <c r="B50" t="str">
        <f>IF(HCari!A45="","",ROW()-ROW(Pembukuan!$B$10))</f>
        <v/>
      </c>
      <c r="C50" s="2" t="str">
        <f>IF(HCari!B45="","",HCari!B45)</f>
        <v/>
      </c>
      <c r="D50" s="2" t="str">
        <f>IF(HCari!C45="","",HCari!C45)</f>
        <v/>
      </c>
      <c r="E50" t="str">
        <f>IF(HCari!F45="","",HCari!F45)</f>
        <v/>
      </c>
      <c r="F50" t="str">
        <f>IF(HCari!G45="","",HCari!G45)</f>
        <v/>
      </c>
      <c r="G50" t="str">
        <f>IF(HCari!H45="","",HCari!H45)</f>
        <v/>
      </c>
      <c r="H50" t="str">
        <f t="shared" si="0"/>
        <v/>
      </c>
    </row>
    <row r="51" spans="2:8" x14ac:dyDescent="0.45">
      <c r="B51" t="str">
        <f>IF(HCari!A46="","",ROW()-ROW(Pembukuan!$B$10))</f>
        <v/>
      </c>
      <c r="C51" s="2" t="str">
        <f>IF(HCari!B46="","",HCari!B46)</f>
        <v/>
      </c>
      <c r="D51" s="2" t="str">
        <f>IF(HCari!C46="","",HCari!C46)</f>
        <v/>
      </c>
      <c r="E51" t="str">
        <f>IF(HCari!F46="","",HCari!F46)</f>
        <v/>
      </c>
      <c r="F51" t="str">
        <f>IF(HCari!G46="","",HCari!G46)</f>
        <v/>
      </c>
      <c r="G51" t="str">
        <f>IF(HCari!H46="","",HCari!H46)</f>
        <v/>
      </c>
      <c r="H51" t="str">
        <f t="shared" si="0"/>
        <v/>
      </c>
    </row>
    <row r="52" spans="2:8" x14ac:dyDescent="0.45">
      <c r="B52" t="str">
        <f>IF(HCari!A47="","",ROW()-ROW(Pembukuan!$B$10))</f>
        <v/>
      </c>
      <c r="C52" s="2" t="str">
        <f>IF(HCari!B47="","",HCari!B47)</f>
        <v/>
      </c>
      <c r="D52" s="2" t="str">
        <f>IF(HCari!C47="","",HCari!C47)</f>
        <v/>
      </c>
      <c r="E52" t="str">
        <f>IF(HCari!F47="","",HCari!F47)</f>
        <v/>
      </c>
      <c r="F52" t="str">
        <f>IF(HCari!G47="","",HCari!G47)</f>
        <v/>
      </c>
      <c r="G52" t="str">
        <f>IF(HCari!H47="","",HCari!H47)</f>
        <v/>
      </c>
      <c r="H52" t="str">
        <f t="shared" si="0"/>
        <v/>
      </c>
    </row>
    <row r="53" spans="2:8" x14ac:dyDescent="0.45">
      <c r="B53" t="str">
        <f>IF(HCari!A48="","",ROW()-ROW(Pembukuan!$B$10))</f>
        <v/>
      </c>
      <c r="C53" s="2" t="str">
        <f>IF(HCari!B48="","",HCari!B48)</f>
        <v/>
      </c>
      <c r="D53" s="2" t="str">
        <f>IF(HCari!C48="","",HCari!C48)</f>
        <v/>
      </c>
      <c r="E53" t="str">
        <f>IF(HCari!F48="","",HCari!F48)</f>
        <v/>
      </c>
      <c r="F53" t="str">
        <f>IF(HCari!G48="","",HCari!G48)</f>
        <v/>
      </c>
      <c r="G53" t="str">
        <f>IF(HCari!H48="","",HCari!H48)</f>
        <v/>
      </c>
      <c r="H53" t="str">
        <f t="shared" si="0"/>
        <v/>
      </c>
    </row>
    <row r="54" spans="2:8" x14ac:dyDescent="0.45">
      <c r="B54" t="str">
        <f>IF(HCari!A49="","",ROW()-ROW(Pembukuan!$B$10))</f>
        <v/>
      </c>
      <c r="C54" s="2" t="str">
        <f>IF(HCari!B49="","",HCari!B49)</f>
        <v/>
      </c>
      <c r="D54" s="2" t="str">
        <f>IF(HCari!C49="","",HCari!C49)</f>
        <v/>
      </c>
      <c r="E54" t="str">
        <f>IF(HCari!F49="","",HCari!F49)</f>
        <v/>
      </c>
      <c r="F54" t="str">
        <f>IF(HCari!G49="","",HCari!G49)</f>
        <v/>
      </c>
      <c r="G54" t="str">
        <f>IF(HCari!H49="","",HCari!H49)</f>
        <v/>
      </c>
      <c r="H54" t="str">
        <f t="shared" si="0"/>
        <v/>
      </c>
    </row>
    <row r="55" spans="2:8" x14ac:dyDescent="0.45">
      <c r="B55" t="str">
        <f>IF(HCari!A50="","",ROW()-ROW(Pembukuan!$B$10))</f>
        <v/>
      </c>
      <c r="C55" s="2" t="str">
        <f>IF(HCari!B50="","",HCari!B50)</f>
        <v/>
      </c>
      <c r="D55" s="2" t="str">
        <f>IF(HCari!C50="","",HCari!C50)</f>
        <v/>
      </c>
      <c r="E55" t="str">
        <f>IF(HCari!F50="","",HCari!F50)</f>
        <v/>
      </c>
      <c r="F55" t="str">
        <f>IF(HCari!G50="","",HCari!G50)</f>
        <v/>
      </c>
      <c r="G55" t="str">
        <f>IF(HCari!H50="","",HCari!H50)</f>
        <v/>
      </c>
      <c r="H55" t="str">
        <f t="shared" si="0"/>
        <v/>
      </c>
    </row>
    <row r="56" spans="2:8" x14ac:dyDescent="0.45">
      <c r="B56" t="str">
        <f>IF(HCari!A51="","",ROW()-ROW(Pembukuan!$B$10))</f>
        <v/>
      </c>
      <c r="C56" s="2" t="str">
        <f>IF(HCari!B51="","",HCari!B51)</f>
        <v/>
      </c>
      <c r="D56" s="2" t="str">
        <f>IF(HCari!C51="","",HCari!C51)</f>
        <v/>
      </c>
      <c r="E56" t="str">
        <f>IF(HCari!F51="","",HCari!F51)</f>
        <v/>
      </c>
      <c r="F56" t="str">
        <f>IF(HCari!G51="","",HCari!G51)</f>
        <v/>
      </c>
      <c r="G56" t="str">
        <f>IF(HCari!H51="","",HCari!H51)</f>
        <v/>
      </c>
      <c r="H56" t="str">
        <f t="shared" si="0"/>
        <v/>
      </c>
    </row>
    <row r="57" spans="2:8" x14ac:dyDescent="0.45">
      <c r="B57" t="str">
        <f>IF(HCari!A52="","",ROW()-ROW(Pembukuan!$B$10))</f>
        <v/>
      </c>
      <c r="C57" s="2" t="str">
        <f>IF(HCari!B52="","",HCari!B52)</f>
        <v/>
      </c>
      <c r="D57" s="2" t="str">
        <f>IF(HCari!C52="","",HCari!C52)</f>
        <v/>
      </c>
      <c r="E57" t="str">
        <f>IF(HCari!F52="","",HCari!F52)</f>
        <v/>
      </c>
      <c r="F57" t="str">
        <f>IF(HCari!G52="","",HCari!G52)</f>
        <v/>
      </c>
      <c r="G57" t="str">
        <f>IF(HCari!H52="","",HCari!H52)</f>
        <v/>
      </c>
      <c r="H57" t="str">
        <f t="shared" si="0"/>
        <v/>
      </c>
    </row>
    <row r="58" spans="2:8" x14ac:dyDescent="0.45">
      <c r="B58" t="str">
        <f>IF(HCari!A53="","",ROW()-ROW(Pembukuan!$B$10))</f>
        <v/>
      </c>
      <c r="C58" s="2" t="str">
        <f>IF(HCari!B53="","",HCari!B53)</f>
        <v/>
      </c>
      <c r="D58" s="2" t="str">
        <f>IF(HCari!C53="","",HCari!C53)</f>
        <v/>
      </c>
      <c r="E58" t="str">
        <f>IF(HCari!F53="","",HCari!F53)</f>
        <v/>
      </c>
      <c r="F58" t="str">
        <f>IF(HCari!G53="","",HCari!G53)</f>
        <v/>
      </c>
      <c r="G58" t="str">
        <f>IF(HCari!H53="","",HCari!H53)</f>
        <v/>
      </c>
      <c r="H58" t="str">
        <f t="shared" si="0"/>
        <v/>
      </c>
    </row>
    <row r="59" spans="2:8" x14ac:dyDescent="0.45">
      <c r="B59" t="str">
        <f>IF(HCari!A54="","",ROW()-ROW(Pembukuan!$B$10))</f>
        <v/>
      </c>
      <c r="C59" s="2" t="str">
        <f>IF(HCari!B54="","",HCari!B54)</f>
        <v/>
      </c>
      <c r="D59" s="2" t="str">
        <f>IF(HCari!C54="","",HCari!C54)</f>
        <v/>
      </c>
      <c r="E59" t="str">
        <f>IF(HCari!F54="","",HCari!F54)</f>
        <v/>
      </c>
      <c r="F59" t="str">
        <f>IF(HCari!G54="","",HCari!G54)</f>
        <v/>
      </c>
      <c r="G59" t="str">
        <f>IF(HCari!H54="","",HCari!H54)</f>
        <v/>
      </c>
      <c r="H59" t="str">
        <f t="shared" si="0"/>
        <v/>
      </c>
    </row>
    <row r="60" spans="2:8" x14ac:dyDescent="0.45">
      <c r="B60" t="str">
        <f>IF(HCari!A55="","",ROW()-ROW(Pembukuan!$B$10))</f>
        <v/>
      </c>
      <c r="C60" s="2" t="str">
        <f>IF(HCari!B55="","",HCari!B55)</f>
        <v/>
      </c>
      <c r="D60" s="2" t="str">
        <f>IF(HCari!C55="","",HCari!C55)</f>
        <v/>
      </c>
      <c r="E60" t="str">
        <f>IF(HCari!F55="","",HCari!F55)</f>
        <v/>
      </c>
      <c r="F60" t="str">
        <f>IF(HCari!G55="","",HCari!G55)</f>
        <v/>
      </c>
      <c r="G60" t="str">
        <f>IF(HCari!H55="","",HCari!H55)</f>
        <v/>
      </c>
      <c r="H60" t="str">
        <f t="shared" si="0"/>
        <v/>
      </c>
    </row>
  </sheetData>
  <mergeCells count="2">
    <mergeCell ref="B6:C6"/>
    <mergeCell ref="B7:C7"/>
  </mergeCells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0C9AD-26FB-400A-86DD-BD623F5872A1}">
  <sheetPr codeName="Sheet5"/>
  <dimension ref="A5:H6"/>
  <sheetViews>
    <sheetView workbookViewId="0">
      <selection activeCell="E6" sqref="E6"/>
    </sheetView>
  </sheetViews>
  <sheetFormatPr defaultRowHeight="14.25" x14ac:dyDescent="0.45"/>
  <cols>
    <col min="2" max="2" width="14" bestFit="1" customWidth="1"/>
    <col min="3" max="3" width="10.1328125" style="2" bestFit="1" customWidth="1"/>
    <col min="4" max="4" width="5.86328125" bestFit="1" customWidth="1"/>
    <col min="5" max="5" width="5.265625" bestFit="1" customWidth="1"/>
    <col min="6" max="6" width="12.3984375" bestFit="1" customWidth="1"/>
    <col min="7" max="7" width="13.265625" style="5" bestFit="1" customWidth="1"/>
    <col min="8" max="8" width="11.1328125" style="5" bestFit="1" customWidth="1"/>
  </cols>
  <sheetData>
    <row r="5" spans="1:8" ht="14.65" thickBot="1" x14ac:dyDescent="0.5">
      <c r="A5" s="1" t="s">
        <v>16</v>
      </c>
      <c r="B5" s="1" t="s">
        <v>18</v>
      </c>
      <c r="C5" s="10" t="s">
        <v>17</v>
      </c>
      <c r="D5" s="1" t="s">
        <v>19</v>
      </c>
      <c r="E5" s="1" t="s">
        <v>20</v>
      </c>
      <c r="F5" s="1" t="s">
        <v>21</v>
      </c>
      <c r="G5" s="6" t="s">
        <v>22</v>
      </c>
      <c r="H5" s="6" t="s">
        <v>23</v>
      </c>
    </row>
    <row r="6" spans="1:8" ht="14.65" thickTop="1" x14ac:dyDescent="0.45">
      <c r="A6">
        <f>ROW()-ROW($A$5)</f>
        <v>1</v>
      </c>
      <c r="B6" t="s">
        <v>68</v>
      </c>
      <c r="C6" s="2">
        <v>45389</v>
      </c>
      <c r="D6">
        <v>2024</v>
      </c>
      <c r="E6" t="s">
        <v>32</v>
      </c>
      <c r="F6" t="s">
        <v>55</v>
      </c>
      <c r="G6" s="5">
        <v>5000000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5B914-59B9-405F-9356-D9B690C1F972}">
  <sheetPr codeName="Sheet6"/>
  <dimension ref="A5:L12"/>
  <sheetViews>
    <sheetView workbookViewId="0">
      <selection activeCell="L6" sqref="L6"/>
    </sheetView>
  </sheetViews>
  <sheetFormatPr defaultRowHeight="14.25" x14ac:dyDescent="0.45"/>
  <cols>
    <col min="1" max="1" width="3.59765625" bestFit="1" customWidth="1"/>
    <col min="2" max="2" width="15.86328125" customWidth="1"/>
    <col min="3" max="3" width="10.59765625" customWidth="1"/>
    <col min="5" max="5" width="11.33203125" customWidth="1"/>
    <col min="6" max="6" width="12.3984375" customWidth="1"/>
    <col min="7" max="7" width="11.1328125" bestFit="1" customWidth="1"/>
    <col min="8" max="8" width="12.19921875" bestFit="1" customWidth="1"/>
  </cols>
  <sheetData>
    <row r="5" spans="1:12" ht="14.65" thickBot="1" x14ac:dyDescent="0.5">
      <c r="A5" s="1" t="s">
        <v>16</v>
      </c>
      <c r="B5" s="1" t="s">
        <v>18</v>
      </c>
      <c r="C5" s="10" t="s">
        <v>17</v>
      </c>
      <c r="D5" s="1" t="s">
        <v>19</v>
      </c>
      <c r="E5" s="1" t="s">
        <v>20</v>
      </c>
      <c r="F5" s="1" t="s">
        <v>21</v>
      </c>
      <c r="G5" s="6" t="s">
        <v>22</v>
      </c>
      <c r="H5" s="6" t="s">
        <v>23</v>
      </c>
      <c r="K5" s="1" t="s">
        <v>19</v>
      </c>
      <c r="L5" s="1" t="s">
        <v>20</v>
      </c>
    </row>
    <row r="6" spans="1:12" ht="14.65" thickTop="1" x14ac:dyDescent="0.45">
      <c r="A6">
        <v>1</v>
      </c>
      <c r="B6" t="s">
        <v>68</v>
      </c>
      <c r="C6" s="2">
        <v>45389</v>
      </c>
      <c r="D6">
        <v>2024</v>
      </c>
      <c r="E6" t="s">
        <v>32</v>
      </c>
      <c r="F6" t="s">
        <v>55</v>
      </c>
      <c r="G6" s="5">
        <v>5000000</v>
      </c>
      <c r="H6" s="5"/>
      <c r="K6">
        <v>2024</v>
      </c>
      <c r="L6" t="s">
        <v>32</v>
      </c>
    </row>
    <row r="7" spans="1:12" x14ac:dyDescent="0.45">
      <c r="C7" s="2"/>
      <c r="G7" s="5"/>
      <c r="H7" s="5"/>
    </row>
    <row r="8" spans="1:12" x14ac:dyDescent="0.45">
      <c r="C8" s="2"/>
      <c r="G8" s="5"/>
      <c r="H8" s="5"/>
    </row>
    <row r="9" spans="1:12" x14ac:dyDescent="0.45">
      <c r="C9" s="2"/>
      <c r="G9" s="5"/>
      <c r="H9" s="5"/>
    </row>
    <row r="10" spans="1:12" x14ac:dyDescent="0.45">
      <c r="C10" s="2"/>
      <c r="G10" s="5"/>
      <c r="H10" s="5"/>
    </row>
    <row r="11" spans="1:12" x14ac:dyDescent="0.45">
      <c r="C11" s="2"/>
      <c r="G11" s="5"/>
      <c r="H11" s="5"/>
    </row>
    <row r="12" spans="1:12" x14ac:dyDescent="0.45">
      <c r="C12" s="2"/>
      <c r="G12" s="5"/>
      <c r="H12" s="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CD0DF-A9C3-46CB-B6FB-E58A39A28ED4}">
  <sheetPr codeName="Sheet8"/>
  <dimension ref="A1:F36"/>
  <sheetViews>
    <sheetView showGridLines="0" zoomScale="85" zoomScaleNormal="85" workbookViewId="0">
      <selection activeCell="E6" sqref="E6"/>
    </sheetView>
  </sheetViews>
  <sheetFormatPr defaultRowHeight="14.25" x14ac:dyDescent="0.45"/>
  <cols>
    <col min="1" max="1" width="3.59765625" bestFit="1" customWidth="1"/>
    <col min="2" max="2" width="25.796875" bestFit="1" customWidth="1"/>
    <col min="5" max="5" width="9.53125" bestFit="1" customWidth="1"/>
    <col min="6" max="6" width="11.06640625" bestFit="1" customWidth="1"/>
  </cols>
  <sheetData>
    <row r="1" spans="1:6" ht="14.65" thickTop="1" x14ac:dyDescent="0.45">
      <c r="A1" s="13"/>
      <c r="B1" s="14"/>
      <c r="C1" s="14"/>
      <c r="D1" s="14"/>
      <c r="E1" s="14"/>
      <c r="F1" s="15"/>
    </row>
    <row r="2" spans="1:6" ht="15" x14ac:dyDescent="0.5">
      <c r="A2" s="16"/>
      <c r="B2" s="21" t="s">
        <v>50</v>
      </c>
      <c r="F2" s="17"/>
    </row>
    <row r="3" spans="1:6" ht="15" x14ac:dyDescent="0.5">
      <c r="A3" s="16"/>
      <c r="B3" s="21" t="s">
        <v>51</v>
      </c>
      <c r="D3" s="23" t="str">
        <f ca="1">"Subang, "&amp;TEXT(NOW(),"dd mmmm yyyy")</f>
        <v>Subang, 11 Mei 2025</v>
      </c>
      <c r="F3" s="17"/>
    </row>
    <row r="4" spans="1:6" x14ac:dyDescent="0.45">
      <c r="A4" s="16"/>
      <c r="B4" s="22" t="s">
        <v>37</v>
      </c>
      <c r="D4" s="23" t="s">
        <v>38</v>
      </c>
      <c r="F4" s="17"/>
    </row>
    <row r="5" spans="1:6" x14ac:dyDescent="0.45">
      <c r="A5" s="16"/>
      <c r="B5" s="22" t="s">
        <v>48</v>
      </c>
      <c r="D5" s="23" t="s">
        <v>39</v>
      </c>
      <c r="E5" s="22" t="s">
        <v>72</v>
      </c>
      <c r="F5" s="17"/>
    </row>
    <row r="6" spans="1:6" x14ac:dyDescent="0.45">
      <c r="A6" s="16"/>
      <c r="B6" s="22" t="s">
        <v>49</v>
      </c>
      <c r="D6" s="23" t="s">
        <v>40</v>
      </c>
      <c r="E6" s="22" t="s">
        <v>66</v>
      </c>
      <c r="F6" s="17"/>
    </row>
    <row r="7" spans="1:6" x14ac:dyDescent="0.45">
      <c r="A7" s="16"/>
      <c r="F7" s="17"/>
    </row>
    <row r="8" spans="1:6" x14ac:dyDescent="0.45">
      <c r="A8" s="16"/>
      <c r="F8" s="17"/>
    </row>
    <row r="9" spans="1:6" ht="14.65" thickBot="1" x14ac:dyDescent="0.5">
      <c r="A9" s="16"/>
      <c r="F9" s="17"/>
    </row>
    <row r="10" spans="1:6" ht="15" thickTop="1" thickBot="1" x14ac:dyDescent="0.5">
      <c r="A10" s="12" t="s">
        <v>16</v>
      </c>
      <c r="B10" s="12" t="s">
        <v>41</v>
      </c>
      <c r="C10" s="12" t="s">
        <v>8</v>
      </c>
      <c r="D10" s="12" t="s">
        <v>42</v>
      </c>
      <c r="E10" s="12" t="s">
        <v>43</v>
      </c>
      <c r="F10" s="12" t="s">
        <v>9</v>
      </c>
    </row>
    <row r="11" spans="1:6" ht="15" thickTop="1" thickBot="1" x14ac:dyDescent="0.5">
      <c r="A11" s="11">
        <f>ROW()-ROW($A$10)</f>
        <v>1</v>
      </c>
      <c r="B11" s="11" t="s">
        <v>15</v>
      </c>
      <c r="C11" s="28">
        <v>35000</v>
      </c>
      <c r="D11" s="11">
        <v>15</v>
      </c>
      <c r="E11" s="28">
        <v>52500</v>
      </c>
      <c r="F11" s="28">
        <v>472500</v>
      </c>
    </row>
    <row r="12" spans="1:6" ht="15" thickTop="1" thickBot="1" x14ac:dyDescent="0.5">
      <c r="A12" s="11"/>
      <c r="B12" s="11"/>
      <c r="C12" s="28"/>
      <c r="D12" s="11"/>
      <c r="E12" s="28"/>
      <c r="F12" s="28"/>
    </row>
    <row r="13" spans="1:6" ht="15" thickTop="1" thickBot="1" x14ac:dyDescent="0.5">
      <c r="A13" s="11"/>
      <c r="B13" s="11"/>
      <c r="C13" s="28"/>
      <c r="D13" s="11"/>
      <c r="E13" s="28"/>
      <c r="F13" s="28"/>
    </row>
    <row r="14" spans="1:6" ht="15" thickTop="1" thickBot="1" x14ac:dyDescent="0.5">
      <c r="A14" s="11"/>
      <c r="B14" s="11"/>
      <c r="C14" s="28"/>
      <c r="D14" s="11"/>
      <c r="E14" s="28"/>
      <c r="F14" s="28"/>
    </row>
    <row r="15" spans="1:6" ht="15" thickTop="1" thickBot="1" x14ac:dyDescent="0.5">
      <c r="A15" s="11"/>
      <c r="B15" s="11"/>
      <c r="C15" s="28"/>
      <c r="D15" s="11"/>
      <c r="E15" s="28"/>
      <c r="F15" s="28"/>
    </row>
    <row r="16" spans="1:6" ht="15" thickTop="1" thickBot="1" x14ac:dyDescent="0.5">
      <c r="A16" s="11"/>
      <c r="B16" s="11"/>
      <c r="C16" s="28"/>
      <c r="D16" s="11"/>
      <c r="E16" s="28"/>
      <c r="F16" s="28"/>
    </row>
    <row r="17" spans="1:6" ht="15" thickTop="1" thickBot="1" x14ac:dyDescent="0.5">
      <c r="A17" s="11"/>
      <c r="B17" s="11"/>
      <c r="C17" s="28"/>
      <c r="D17" s="11"/>
      <c r="E17" s="28"/>
      <c r="F17" s="28"/>
    </row>
    <row r="18" spans="1:6" ht="15" thickTop="1" thickBot="1" x14ac:dyDescent="0.5">
      <c r="A18" s="11"/>
      <c r="B18" s="11"/>
      <c r="C18" s="28"/>
      <c r="D18" s="11"/>
      <c r="E18" s="28"/>
      <c r="F18" s="28"/>
    </row>
    <row r="19" spans="1:6" ht="15" thickTop="1" thickBot="1" x14ac:dyDescent="0.5">
      <c r="A19" s="11"/>
      <c r="B19" s="11"/>
      <c r="C19" s="28"/>
      <c r="D19" s="11"/>
      <c r="E19" s="28"/>
      <c r="F19" s="28"/>
    </row>
    <row r="20" spans="1:6" ht="15" thickTop="1" thickBot="1" x14ac:dyDescent="0.5">
      <c r="A20" s="11"/>
      <c r="B20" s="11"/>
      <c r="C20" s="28"/>
      <c r="D20" s="11"/>
      <c r="E20" s="28"/>
      <c r="F20" s="28"/>
    </row>
    <row r="21" spans="1:6" ht="15" thickTop="1" thickBot="1" x14ac:dyDescent="0.5">
      <c r="A21" s="11"/>
      <c r="B21" s="11"/>
      <c r="C21" s="28"/>
      <c r="D21" s="11"/>
      <c r="E21" s="28"/>
      <c r="F21" s="28"/>
    </row>
    <row r="22" spans="1:6" ht="15" thickTop="1" thickBot="1" x14ac:dyDescent="0.5">
      <c r="A22" s="11"/>
      <c r="B22" s="11"/>
      <c r="C22" s="28"/>
      <c r="D22" s="11"/>
      <c r="E22" s="28"/>
      <c r="F22" s="28"/>
    </row>
    <row r="23" spans="1:6" ht="15" thickTop="1" thickBot="1" x14ac:dyDescent="0.5">
      <c r="A23" s="11"/>
      <c r="B23" s="11"/>
      <c r="C23" s="28"/>
      <c r="D23" s="11"/>
      <c r="E23" s="28"/>
      <c r="F23" s="28"/>
    </row>
    <row r="24" spans="1:6" ht="15" thickTop="1" thickBot="1" x14ac:dyDescent="0.5">
      <c r="A24" s="11"/>
      <c r="B24" s="11"/>
      <c r="C24" s="28"/>
      <c r="D24" s="11"/>
      <c r="E24" s="28"/>
      <c r="F24" s="28"/>
    </row>
    <row r="25" spans="1:6" ht="15" thickTop="1" thickBot="1" x14ac:dyDescent="0.5">
      <c r="A25" s="11"/>
      <c r="B25" s="11"/>
      <c r="C25" s="28"/>
      <c r="D25" s="11"/>
      <c r="E25" s="28"/>
      <c r="F25" s="28"/>
    </row>
    <row r="26" spans="1:6" ht="15" thickTop="1" thickBot="1" x14ac:dyDescent="0.5">
      <c r="A26" s="16"/>
      <c r="E26" s="25" t="s">
        <v>44</v>
      </c>
      <c r="F26" s="28">
        <f>SUM(F11:F25)</f>
        <v>472500</v>
      </c>
    </row>
    <row r="27" spans="1:6" ht="14.65" thickTop="1" x14ac:dyDescent="0.45">
      <c r="A27" s="16"/>
      <c r="F27" s="17"/>
    </row>
    <row r="28" spans="1:6" ht="14.65" thickBot="1" x14ac:dyDescent="0.5">
      <c r="A28" s="16"/>
      <c r="F28" s="17"/>
    </row>
    <row r="29" spans="1:6" ht="14.65" thickTop="1" x14ac:dyDescent="0.45">
      <c r="A29" s="16"/>
      <c r="B29" s="26" t="s">
        <v>45</v>
      </c>
      <c r="E29" s="24" t="s">
        <v>47</v>
      </c>
      <c r="F29" s="17"/>
    </row>
    <row r="30" spans="1:6" ht="14.65" thickBot="1" x14ac:dyDescent="0.5">
      <c r="A30" s="16"/>
      <c r="B30" s="27" t="s">
        <v>46</v>
      </c>
      <c r="F30" s="17"/>
    </row>
    <row r="31" spans="1:6" ht="14.65" thickTop="1" x14ac:dyDescent="0.45">
      <c r="A31" s="16"/>
      <c r="F31" s="17"/>
    </row>
    <row r="32" spans="1:6" x14ac:dyDescent="0.45">
      <c r="A32" s="16"/>
      <c r="F32" s="17"/>
    </row>
    <row r="33" spans="1:6" x14ac:dyDescent="0.45">
      <c r="A33" s="16"/>
      <c r="E33" s="24" t="s">
        <v>52</v>
      </c>
      <c r="F33" s="17"/>
    </row>
    <row r="34" spans="1:6" x14ac:dyDescent="0.45">
      <c r="A34" s="16"/>
      <c r="F34" s="17"/>
    </row>
    <row r="35" spans="1:6" ht="14.65" thickBot="1" x14ac:dyDescent="0.5">
      <c r="A35" s="18"/>
      <c r="B35" s="19"/>
      <c r="C35" s="19"/>
      <c r="D35" s="19"/>
      <c r="E35" s="19"/>
      <c r="F35" s="20"/>
    </row>
    <row r="36" spans="1:6" ht="14.65" thickTop="1" x14ac:dyDescent="0.4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DataUser</vt:lpstr>
      <vt:lpstr>Transaksi</vt:lpstr>
      <vt:lpstr>Mentahan</vt:lpstr>
      <vt:lpstr>Rasa</vt:lpstr>
      <vt:lpstr>Pembukuan</vt:lpstr>
      <vt:lpstr>Pencatatan</vt:lpstr>
      <vt:lpstr>HCari</vt:lpstr>
      <vt:lpstr>Nota</vt:lpstr>
      <vt:lpstr>Bulan1</vt:lpstr>
      <vt:lpstr>HCari!Criteria</vt:lpstr>
      <vt:lpstr>HCari!Extract</vt:lpstr>
      <vt:lpstr>Tahun</vt:lpstr>
      <vt:lpstr>Tahun1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Widi Yanti Zahra</dc:creator>
  <cp:lastModifiedBy>Tegar Kusuma</cp:lastModifiedBy>
  <cp:lastPrinted>2024-07-04T03:58:52Z</cp:lastPrinted>
  <dcterms:created xsi:type="dcterms:W3CDTF">2024-05-02T02:17:56Z</dcterms:created>
  <dcterms:modified xsi:type="dcterms:W3CDTF">2025-05-11T16:40:14Z</dcterms:modified>
</cp:coreProperties>
</file>